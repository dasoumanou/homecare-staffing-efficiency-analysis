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22307638dbbc42/Data_Analtics_Project/Excel Work/"/>
    </mc:Choice>
  </mc:AlternateContent>
  <xr:revisionPtr revIDLastSave="0" documentId="8_{390BEDC0-E694-4779-86A2-463B7B4019B7}" xr6:coauthVersionLast="47" xr6:coauthVersionMax="47" xr10:uidLastSave="{00000000-0000-0000-0000-000000000000}"/>
  <bookViews>
    <workbookView xWindow="-120" yWindow="-120" windowWidth="20730" windowHeight="11040" xr2:uid="{907E6AE9-22A1-4D24-8678-FCECDA2B986A}"/>
  </bookViews>
  <sheets>
    <sheet name="Shif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</calcChain>
</file>

<file path=xl/sharedStrings.xml><?xml version="1.0" encoding="utf-8"?>
<sst xmlns="http://schemas.openxmlformats.org/spreadsheetml/2006/main" count="134" uniqueCount="58">
  <si>
    <t>ShiftID</t>
  </si>
  <si>
    <t>CaregiverID</t>
  </si>
  <si>
    <t>ClientID</t>
  </si>
  <si>
    <t>ShiftDate</t>
  </si>
  <si>
    <t>ScheduledHours</t>
  </si>
  <si>
    <t>ActualHours</t>
  </si>
  <si>
    <t>ShiftStatus</t>
  </si>
  <si>
    <t>PayRate</t>
  </si>
  <si>
    <t>Region</t>
  </si>
  <si>
    <t>ShiftType</t>
  </si>
  <si>
    <t>S001</t>
  </si>
  <si>
    <t>CG01</t>
  </si>
  <si>
    <t>CL01</t>
  </si>
  <si>
    <t>Completed</t>
  </si>
  <si>
    <t>North</t>
  </si>
  <si>
    <t>Day</t>
  </si>
  <si>
    <t>S002</t>
  </si>
  <si>
    <t>CG02</t>
  </si>
  <si>
    <t>CL02</t>
  </si>
  <si>
    <t>S003</t>
  </si>
  <si>
    <t>CG03</t>
  </si>
  <si>
    <t>CL03</t>
  </si>
  <si>
    <t>No-Show</t>
  </si>
  <si>
    <t>South</t>
  </si>
  <si>
    <t>Night</t>
  </si>
  <si>
    <t>S004</t>
  </si>
  <si>
    <t>CL04</t>
  </si>
  <si>
    <t>West</t>
  </si>
  <si>
    <t>S005</t>
  </si>
  <si>
    <t>CG04</t>
  </si>
  <si>
    <t>Canceled</t>
  </si>
  <si>
    <t>S006</t>
  </si>
  <si>
    <t>CG05</t>
  </si>
  <si>
    <t>CL05</t>
  </si>
  <si>
    <t>S007</t>
  </si>
  <si>
    <t>S008</t>
  </si>
  <si>
    <t>CL06</t>
  </si>
  <si>
    <t>S009</t>
  </si>
  <si>
    <t>CL07</t>
  </si>
  <si>
    <t>S010</t>
  </si>
  <si>
    <t>S011</t>
  </si>
  <si>
    <t>CL08</t>
  </si>
  <si>
    <t>S012</t>
  </si>
  <si>
    <t>CL09</t>
  </si>
  <si>
    <t>S013</t>
  </si>
  <si>
    <t>S014</t>
  </si>
  <si>
    <t>CL10</t>
  </si>
  <si>
    <t>S015</t>
  </si>
  <si>
    <t>CL11</t>
  </si>
  <si>
    <t>S016</t>
  </si>
  <si>
    <t>S017</t>
  </si>
  <si>
    <t>S018</t>
  </si>
  <si>
    <t>S019</t>
  </si>
  <si>
    <t>S020</t>
  </si>
  <si>
    <t>CompletionFlag</t>
  </si>
  <si>
    <t>OvertimeHours</t>
  </si>
  <si>
    <t>InefficiencyCost</t>
  </si>
  <si>
    <t>InefficiencyHours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</si>
</sst>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818A86-8418-4CE4-B93A-B57E31FF8955}" name="tblShifts" displayName="tblShifts" ref="A1:N21" totalsRowShown="0">
  <autoFilter ref="A1:N21" xr:uid="{EC818A86-8418-4CE4-B93A-B57E31FF8955}"/>
  <tableColumns count="14">
    <tableColumn id="1" xr3:uid="{3A98C39A-1CD2-4E89-91CA-4F7063222E72}" name="ShiftID"/>
    <tableColumn id="2" xr3:uid="{31640C29-872A-4757-BD32-1F8BA9DF6238}" name="CaregiverID"/>
    <tableColumn id="3" xr3:uid="{8BB3D3A7-C884-453F-8CAD-AB147E45AEDF}" name="ClientID"/>
    <tableColumn id="4" xr3:uid="{5AF6F2C0-8E89-4D0A-811F-688E3E6A318E}" name="ShiftDate"/>
    <tableColumn id="5" xr3:uid="{24D1F01D-C125-439D-A1B0-5AF0E75AAEFD}" name="ScheduledHours"/>
    <tableColumn id="6" xr3:uid="{34631C67-D029-42CD-ACA7-34C269E6410C}" name="ActualHours"/>
    <tableColumn id="7" xr3:uid="{1B0CECA7-B0DF-4F4D-80F6-2595E84BBC9D}" name="ShiftStatus"/>
    <tableColumn id="8" xr3:uid="{2C93C945-1151-4624-8844-ADE0933C1180}" name="PayRate"/>
    <tableColumn id="9" xr3:uid="{CE6BC79E-CF7A-4D72-8E7B-27D6D70FB67A}" name="Region"/>
    <tableColumn id="10" xr3:uid="{22BA50E6-CB3B-4978-A0FA-B70D0B03DF76}" name="ShiftType"/>
    <tableColumn id="11" xr3:uid="{970CF9C0-0F9B-40CC-9F49-C11B4BC8463F}" name="CompletionFlag" dataDxfId="3">
      <calculatedColumnFormula>IF(tblShifts[[#This Row],[ShiftStatus]]="Completed",1,0)</calculatedColumnFormula>
    </tableColumn>
    <tableColumn id="12" xr3:uid="{7B7CFE12-FC1A-423A-BB4C-EDB38D0C9643}" name="OvertimeHours" dataDxfId="2">
      <calculatedColumnFormula>MAX(0,tblShifts[[#This Row],[ActualHours]]-tblShifts[[#This Row],[ScheduledHours]])</calculatedColumnFormula>
    </tableColumn>
    <tableColumn id="13" xr3:uid="{BC1C2729-8249-45AF-A46B-BD0D0D050909}" name="InefficiencyHours" dataDxfId="1">
      <calculatedColumnFormula>MAX(0,tblShifts[[#This Row],[ScheduledHours]]-tblShifts[[#This Row],[ActualHours]])</calculatedColumnFormula>
    </tableColumn>
    <tableColumn id="14" xr3:uid="{3CF438A1-BDC4-4E7F-BD33-9958AC153B88}" name="InefficiencyCost" dataDxfId="0">
      <calculatedColumnFormula>tblShifts[[#This Row],[InefficiencyHours]]*tblShifts[[#This Row],[PayRate]]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6562B-4CFF-4652-87F5-7A0EAB5AB966}">
  <dimension ref="A1:N21"/>
  <sheetViews>
    <sheetView tabSelected="1" topLeftCell="B1" workbookViewId="0">
      <selection activeCell="K1" sqref="K1:N1048576"/>
    </sheetView>
  </sheetViews>
  <sheetFormatPr defaultRowHeight="15" x14ac:dyDescent="0.25"/>
  <cols>
    <col min="1" max="1" width="9.42578125" customWidth="1"/>
    <col min="2" max="2" width="13.85546875" customWidth="1"/>
    <col min="3" max="3" width="12.28515625" customWidth="1"/>
    <col min="4" max="4" width="11.7109375" customWidth="1"/>
    <col min="5" max="5" width="18.140625" customWidth="1"/>
    <col min="6" max="6" width="14.140625" customWidth="1"/>
    <col min="7" max="7" width="13.28515625" customWidth="1"/>
    <col min="8" max="8" width="10.42578125" customWidth="1"/>
    <col min="9" max="9" width="9.42578125" customWidth="1"/>
    <col min="10" max="10" width="11.7109375" customWidth="1"/>
    <col min="11" max="11" width="17.7109375" customWidth="1"/>
    <col min="12" max="12" width="16.42578125" customWidth="1"/>
    <col min="13" max="13" width="18.28515625" customWidth="1"/>
    <col min="14" max="14" width="20.28515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54</v>
      </c>
      <c r="L1" t="s">
        <v>55</v>
      </c>
      <c r="M1" t="s">
        <v>57</v>
      </c>
      <c r="N1" t="s">
        <v>56</v>
      </c>
    </row>
    <row r="2" spans="1:14" x14ac:dyDescent="0.25">
      <c r="A2" t="s">
        <v>10</v>
      </c>
      <c r="B2" t="s">
        <v>11</v>
      </c>
      <c r="C2" t="s">
        <v>12</v>
      </c>
      <c r="D2" s="1">
        <v>45659</v>
      </c>
      <c r="E2">
        <v>8</v>
      </c>
      <c r="F2">
        <v>8</v>
      </c>
      <c r="G2" t="s">
        <v>13</v>
      </c>
      <c r="H2">
        <v>18</v>
      </c>
      <c r="I2" t="s">
        <v>14</v>
      </c>
      <c r="J2" t="s">
        <v>15</v>
      </c>
      <c r="K2">
        <f>IF(tblShifts[[#This Row],[ShiftStatus]]="Completed",1,0)</f>
        <v>1</v>
      </c>
      <c r="L2">
        <f>MAX(0,tblShifts[[#This Row],[ActualHours]]-tblShifts[[#This Row],[ScheduledHours]])</f>
        <v>0</v>
      </c>
      <c r="M2">
        <f>MAX(0,tblShifts[[#This Row],[ScheduledHours]]-tblShifts[[#This Row],[ActualHours]])</f>
        <v>0</v>
      </c>
      <c r="N2">
        <f>tblShifts[[#This Row],[InefficiencyHours]]*tblShifts[[#This Row],[PayRate]]</f>
        <v>0</v>
      </c>
    </row>
    <row r="3" spans="1:14" x14ac:dyDescent="0.25">
      <c r="A3" t="s">
        <v>16</v>
      </c>
      <c r="B3" t="s">
        <v>17</v>
      </c>
      <c r="C3" t="s">
        <v>18</v>
      </c>
      <c r="D3" s="1">
        <v>45659</v>
      </c>
      <c r="E3">
        <v>6</v>
      </c>
      <c r="F3">
        <v>5</v>
      </c>
      <c r="G3" t="s">
        <v>13</v>
      </c>
      <c r="H3">
        <v>19</v>
      </c>
      <c r="I3" t="s">
        <v>14</v>
      </c>
      <c r="J3" t="s">
        <v>15</v>
      </c>
      <c r="K3">
        <f>IF(tblShifts[[#This Row],[ShiftStatus]]="Completed",1,0)</f>
        <v>1</v>
      </c>
      <c r="L3">
        <f>MAX(0,tblShifts[[#This Row],[ActualHours]]-tblShifts[[#This Row],[ScheduledHours]])</f>
        <v>0</v>
      </c>
      <c r="M3">
        <f>MAX(0,tblShifts[[#This Row],[ScheduledHours]]-tblShifts[[#This Row],[ActualHours]])</f>
        <v>1</v>
      </c>
      <c r="N3" s="2">
        <f>tblShifts[[#This Row],[InefficiencyHours]]*tblShifts[[#This Row],[PayRate]]</f>
        <v>19</v>
      </c>
    </row>
    <row r="4" spans="1:14" x14ac:dyDescent="0.25">
      <c r="A4" t="s">
        <v>19</v>
      </c>
      <c r="B4" t="s">
        <v>20</v>
      </c>
      <c r="C4" t="s">
        <v>21</v>
      </c>
      <c r="D4" s="1">
        <v>45659</v>
      </c>
      <c r="E4">
        <v>8</v>
      </c>
      <c r="F4">
        <v>0</v>
      </c>
      <c r="G4" t="s">
        <v>22</v>
      </c>
      <c r="H4">
        <v>20</v>
      </c>
      <c r="I4" t="s">
        <v>23</v>
      </c>
      <c r="J4" t="s">
        <v>24</v>
      </c>
      <c r="K4">
        <f>IF(tblShifts[[#This Row],[ShiftStatus]]="Completed",1,0)</f>
        <v>0</v>
      </c>
      <c r="L4">
        <f>MAX(0,tblShifts[[#This Row],[ActualHours]]-tblShifts[[#This Row],[ScheduledHours]])</f>
        <v>0</v>
      </c>
      <c r="M4">
        <f>MAX(0,tblShifts[[#This Row],[ScheduledHours]]-tblShifts[[#This Row],[ActualHours]])</f>
        <v>8</v>
      </c>
      <c r="N4" s="2">
        <f>tblShifts[[#This Row],[InefficiencyHours]]*tblShifts[[#This Row],[PayRate]]</f>
        <v>160</v>
      </c>
    </row>
    <row r="5" spans="1:14" x14ac:dyDescent="0.25">
      <c r="A5" t="s">
        <v>25</v>
      </c>
      <c r="B5" t="s">
        <v>11</v>
      </c>
      <c r="C5" t="s">
        <v>26</v>
      </c>
      <c r="D5" s="1">
        <v>45660</v>
      </c>
      <c r="E5">
        <v>12</v>
      </c>
      <c r="F5">
        <v>10</v>
      </c>
      <c r="G5" t="s">
        <v>13</v>
      </c>
      <c r="H5">
        <v>18</v>
      </c>
      <c r="I5" t="s">
        <v>27</v>
      </c>
      <c r="J5" t="s">
        <v>15</v>
      </c>
      <c r="K5">
        <f>IF(tblShifts[[#This Row],[ShiftStatus]]="Completed",1,0)</f>
        <v>1</v>
      </c>
      <c r="L5">
        <f>MAX(0,tblShifts[[#This Row],[ActualHours]]-tblShifts[[#This Row],[ScheduledHours]])</f>
        <v>0</v>
      </c>
      <c r="M5">
        <f>MAX(0,tblShifts[[#This Row],[ScheduledHours]]-tblShifts[[#This Row],[ActualHours]])</f>
        <v>2</v>
      </c>
      <c r="N5" s="2">
        <f>tblShifts[[#This Row],[InefficiencyHours]]*tblShifts[[#This Row],[PayRate]]</f>
        <v>36</v>
      </c>
    </row>
    <row r="6" spans="1:14" x14ac:dyDescent="0.25">
      <c r="A6" t="s">
        <v>28</v>
      </c>
      <c r="B6" t="s">
        <v>29</v>
      </c>
      <c r="C6" t="s">
        <v>12</v>
      </c>
      <c r="D6" s="1">
        <v>45660</v>
      </c>
      <c r="E6">
        <v>8</v>
      </c>
      <c r="F6">
        <v>0</v>
      </c>
      <c r="G6" t="s">
        <v>30</v>
      </c>
      <c r="H6">
        <v>17</v>
      </c>
      <c r="I6" t="s">
        <v>14</v>
      </c>
      <c r="J6" t="s">
        <v>15</v>
      </c>
      <c r="K6">
        <f>IF(tblShifts[[#This Row],[ShiftStatus]]="Completed",1,0)</f>
        <v>0</v>
      </c>
      <c r="L6">
        <f>MAX(0,tblShifts[[#This Row],[ActualHours]]-tblShifts[[#This Row],[ScheduledHours]])</f>
        <v>0</v>
      </c>
      <c r="M6">
        <f>MAX(0,tblShifts[[#This Row],[ScheduledHours]]-tblShifts[[#This Row],[ActualHours]])</f>
        <v>8</v>
      </c>
      <c r="N6" s="2">
        <f>tblShifts[[#This Row],[InefficiencyHours]]*tblShifts[[#This Row],[PayRate]]</f>
        <v>136</v>
      </c>
    </row>
    <row r="7" spans="1:14" x14ac:dyDescent="0.25">
      <c r="A7" t="s">
        <v>31</v>
      </c>
      <c r="B7" t="s">
        <v>32</v>
      </c>
      <c r="C7" t="s">
        <v>33</v>
      </c>
      <c r="D7" s="1">
        <v>45660</v>
      </c>
      <c r="E7">
        <v>6</v>
      </c>
      <c r="F7">
        <v>7</v>
      </c>
      <c r="G7" t="s">
        <v>13</v>
      </c>
      <c r="H7">
        <v>21</v>
      </c>
      <c r="I7" t="s">
        <v>23</v>
      </c>
      <c r="J7" t="s">
        <v>24</v>
      </c>
      <c r="K7">
        <f>IF(tblShifts[[#This Row],[ShiftStatus]]="Completed",1,0)</f>
        <v>1</v>
      </c>
      <c r="L7">
        <f>MAX(0,tblShifts[[#This Row],[ActualHours]]-tblShifts[[#This Row],[ScheduledHours]])</f>
        <v>1</v>
      </c>
      <c r="M7">
        <f>MAX(0,tblShifts[[#This Row],[ScheduledHours]]-tblShifts[[#This Row],[ActualHours]])</f>
        <v>0</v>
      </c>
      <c r="N7">
        <f>tblShifts[[#This Row],[InefficiencyHours]]*tblShifts[[#This Row],[PayRate]]</f>
        <v>0</v>
      </c>
    </row>
    <row r="8" spans="1:14" x14ac:dyDescent="0.25">
      <c r="A8" t="s">
        <v>34</v>
      </c>
      <c r="B8" t="s">
        <v>17</v>
      </c>
      <c r="C8" t="s">
        <v>18</v>
      </c>
      <c r="D8" s="1">
        <v>45661</v>
      </c>
      <c r="E8">
        <v>8</v>
      </c>
      <c r="F8">
        <v>8</v>
      </c>
      <c r="G8" t="s">
        <v>13</v>
      </c>
      <c r="H8">
        <v>19</v>
      </c>
      <c r="I8" t="s">
        <v>14</v>
      </c>
      <c r="J8" t="s">
        <v>15</v>
      </c>
      <c r="K8">
        <f>IF(tblShifts[[#This Row],[ShiftStatus]]="Completed",1,0)</f>
        <v>1</v>
      </c>
      <c r="L8">
        <f>MAX(0,tblShifts[[#This Row],[ActualHours]]-tblShifts[[#This Row],[ScheduledHours]])</f>
        <v>0</v>
      </c>
      <c r="M8">
        <f>MAX(0,tblShifts[[#This Row],[ScheduledHours]]-tblShifts[[#This Row],[ActualHours]])</f>
        <v>0</v>
      </c>
      <c r="N8">
        <f>tblShifts[[#This Row],[InefficiencyHours]]*tblShifts[[#This Row],[PayRate]]</f>
        <v>0</v>
      </c>
    </row>
    <row r="9" spans="1:14" x14ac:dyDescent="0.25">
      <c r="A9" t="s">
        <v>35</v>
      </c>
      <c r="B9" t="s">
        <v>20</v>
      </c>
      <c r="C9" t="s">
        <v>36</v>
      </c>
      <c r="D9" s="1">
        <v>45661</v>
      </c>
      <c r="E9">
        <v>12</v>
      </c>
      <c r="F9">
        <v>12</v>
      </c>
      <c r="G9" t="s">
        <v>13</v>
      </c>
      <c r="H9">
        <v>20</v>
      </c>
      <c r="I9" t="s">
        <v>23</v>
      </c>
      <c r="J9" t="s">
        <v>24</v>
      </c>
      <c r="K9">
        <f>IF(tblShifts[[#This Row],[ShiftStatus]]="Completed",1,0)</f>
        <v>1</v>
      </c>
      <c r="L9">
        <f>MAX(0,tblShifts[[#This Row],[ActualHours]]-tblShifts[[#This Row],[ScheduledHours]])</f>
        <v>0</v>
      </c>
      <c r="M9">
        <f>MAX(0,tblShifts[[#This Row],[ScheduledHours]]-tblShifts[[#This Row],[ActualHours]])</f>
        <v>0</v>
      </c>
      <c r="N9">
        <f>tblShifts[[#This Row],[InefficiencyHours]]*tblShifts[[#This Row],[PayRate]]</f>
        <v>0</v>
      </c>
    </row>
    <row r="10" spans="1:14" x14ac:dyDescent="0.25">
      <c r="A10" t="s">
        <v>37</v>
      </c>
      <c r="B10" t="s">
        <v>29</v>
      </c>
      <c r="C10" t="s">
        <v>38</v>
      </c>
      <c r="D10" s="1">
        <v>45661</v>
      </c>
      <c r="E10">
        <v>6</v>
      </c>
      <c r="F10">
        <v>0</v>
      </c>
      <c r="G10" t="s">
        <v>22</v>
      </c>
      <c r="H10">
        <v>17</v>
      </c>
      <c r="I10" t="s">
        <v>27</v>
      </c>
      <c r="J10" t="s">
        <v>15</v>
      </c>
      <c r="K10">
        <f>IF(tblShifts[[#This Row],[ShiftStatus]]="Completed",1,0)</f>
        <v>0</v>
      </c>
      <c r="L10">
        <f>MAX(0,tblShifts[[#This Row],[ActualHours]]-tblShifts[[#This Row],[ScheduledHours]])</f>
        <v>0</v>
      </c>
      <c r="M10">
        <f>MAX(0,tblShifts[[#This Row],[ScheduledHours]]-tblShifts[[#This Row],[ActualHours]])</f>
        <v>6</v>
      </c>
      <c r="N10" s="2">
        <f>tblShifts[[#This Row],[InefficiencyHours]]*tblShifts[[#This Row],[PayRate]]</f>
        <v>102</v>
      </c>
    </row>
    <row r="11" spans="1:14" x14ac:dyDescent="0.25">
      <c r="A11" t="s">
        <v>39</v>
      </c>
      <c r="B11" t="s">
        <v>32</v>
      </c>
      <c r="C11" t="s">
        <v>33</v>
      </c>
      <c r="D11" s="1">
        <v>45662</v>
      </c>
      <c r="E11">
        <v>8</v>
      </c>
      <c r="F11">
        <v>9</v>
      </c>
      <c r="G11" t="s">
        <v>13</v>
      </c>
      <c r="H11">
        <v>21</v>
      </c>
      <c r="I11" t="s">
        <v>23</v>
      </c>
      <c r="J11" t="s">
        <v>24</v>
      </c>
      <c r="K11">
        <f>IF(tblShifts[[#This Row],[ShiftStatus]]="Completed",1,0)</f>
        <v>1</v>
      </c>
      <c r="L11">
        <f>MAX(0,tblShifts[[#This Row],[ActualHours]]-tblShifts[[#This Row],[ScheduledHours]])</f>
        <v>1</v>
      </c>
      <c r="M11">
        <f>MAX(0,tblShifts[[#This Row],[ScheduledHours]]-tblShifts[[#This Row],[ActualHours]])</f>
        <v>0</v>
      </c>
      <c r="N11">
        <f>tblShifts[[#This Row],[InefficiencyHours]]*tblShifts[[#This Row],[PayRate]]</f>
        <v>0</v>
      </c>
    </row>
    <row r="12" spans="1:14" x14ac:dyDescent="0.25">
      <c r="A12" t="s">
        <v>40</v>
      </c>
      <c r="B12" t="s">
        <v>11</v>
      </c>
      <c r="C12" t="s">
        <v>41</v>
      </c>
      <c r="D12" s="1">
        <v>45662</v>
      </c>
      <c r="E12">
        <v>6</v>
      </c>
      <c r="F12">
        <v>6</v>
      </c>
      <c r="G12" t="s">
        <v>13</v>
      </c>
      <c r="H12">
        <v>18</v>
      </c>
      <c r="I12" t="s">
        <v>14</v>
      </c>
      <c r="J12" t="s">
        <v>15</v>
      </c>
      <c r="K12">
        <f>IF(tblShifts[[#This Row],[ShiftStatus]]="Completed",1,0)</f>
        <v>1</v>
      </c>
      <c r="L12">
        <f>MAX(0,tblShifts[[#This Row],[ActualHours]]-tblShifts[[#This Row],[ScheduledHours]])</f>
        <v>0</v>
      </c>
      <c r="M12">
        <f>MAX(0,tblShifts[[#This Row],[ScheduledHours]]-tblShifts[[#This Row],[ActualHours]])</f>
        <v>0</v>
      </c>
      <c r="N12">
        <f>tblShifts[[#This Row],[InefficiencyHours]]*tblShifts[[#This Row],[PayRate]]</f>
        <v>0</v>
      </c>
    </row>
    <row r="13" spans="1:14" x14ac:dyDescent="0.25">
      <c r="A13" t="s">
        <v>42</v>
      </c>
      <c r="B13" t="s">
        <v>17</v>
      </c>
      <c r="C13" t="s">
        <v>43</v>
      </c>
      <c r="D13" s="1">
        <v>45662</v>
      </c>
      <c r="E13">
        <v>12</v>
      </c>
      <c r="F13">
        <v>10</v>
      </c>
      <c r="G13" t="s">
        <v>13</v>
      </c>
      <c r="H13">
        <v>19</v>
      </c>
      <c r="I13" t="s">
        <v>27</v>
      </c>
      <c r="J13" t="s">
        <v>15</v>
      </c>
      <c r="K13">
        <f>IF(tblShifts[[#This Row],[ShiftStatus]]="Completed",1,0)</f>
        <v>1</v>
      </c>
      <c r="L13">
        <f>MAX(0,tblShifts[[#This Row],[ActualHours]]-tblShifts[[#This Row],[ScheduledHours]])</f>
        <v>0</v>
      </c>
      <c r="M13">
        <f>MAX(0,tblShifts[[#This Row],[ScheduledHours]]-tblShifts[[#This Row],[ActualHours]])</f>
        <v>2</v>
      </c>
      <c r="N13" s="2">
        <f>tblShifts[[#This Row],[InefficiencyHours]]*tblShifts[[#This Row],[PayRate]]</f>
        <v>38</v>
      </c>
    </row>
    <row r="14" spans="1:14" x14ac:dyDescent="0.25">
      <c r="A14" t="s">
        <v>44</v>
      </c>
      <c r="B14" t="s">
        <v>20</v>
      </c>
      <c r="C14" t="s">
        <v>21</v>
      </c>
      <c r="D14" s="1">
        <v>45663</v>
      </c>
      <c r="E14">
        <v>8</v>
      </c>
      <c r="F14">
        <v>0</v>
      </c>
      <c r="G14" t="s">
        <v>30</v>
      </c>
      <c r="H14">
        <v>20</v>
      </c>
      <c r="I14" t="s">
        <v>23</v>
      </c>
      <c r="J14" t="s">
        <v>24</v>
      </c>
      <c r="K14">
        <f>IF(tblShifts[[#This Row],[ShiftStatus]]="Completed",1,0)</f>
        <v>0</v>
      </c>
      <c r="L14">
        <f>MAX(0,tblShifts[[#This Row],[ActualHours]]-tblShifts[[#This Row],[ScheduledHours]])</f>
        <v>0</v>
      </c>
      <c r="M14">
        <f>MAX(0,tblShifts[[#This Row],[ScheduledHours]]-tblShifts[[#This Row],[ActualHours]])</f>
        <v>8</v>
      </c>
      <c r="N14" s="2">
        <f>tblShifts[[#This Row],[InefficiencyHours]]*tblShifts[[#This Row],[PayRate]]</f>
        <v>160</v>
      </c>
    </row>
    <row r="15" spans="1:14" x14ac:dyDescent="0.25">
      <c r="A15" t="s">
        <v>45</v>
      </c>
      <c r="B15" t="s">
        <v>29</v>
      </c>
      <c r="C15" t="s">
        <v>46</v>
      </c>
      <c r="D15" s="1">
        <v>45663</v>
      </c>
      <c r="E15">
        <v>6</v>
      </c>
      <c r="F15">
        <v>6</v>
      </c>
      <c r="G15" t="s">
        <v>13</v>
      </c>
      <c r="H15">
        <v>17</v>
      </c>
      <c r="I15" t="s">
        <v>14</v>
      </c>
      <c r="J15" t="s">
        <v>15</v>
      </c>
      <c r="K15">
        <f>IF(tblShifts[[#This Row],[ShiftStatus]]="Completed",1,0)</f>
        <v>1</v>
      </c>
      <c r="L15">
        <f>MAX(0,tblShifts[[#This Row],[ActualHours]]-tblShifts[[#This Row],[ScheduledHours]])</f>
        <v>0</v>
      </c>
      <c r="M15">
        <f>MAX(0,tblShifts[[#This Row],[ScheduledHours]]-tblShifts[[#This Row],[ActualHours]])</f>
        <v>0</v>
      </c>
      <c r="N15">
        <f>tblShifts[[#This Row],[InefficiencyHours]]*tblShifts[[#This Row],[PayRate]]</f>
        <v>0</v>
      </c>
    </row>
    <row r="16" spans="1:14" x14ac:dyDescent="0.25">
      <c r="A16" t="s">
        <v>47</v>
      </c>
      <c r="B16" t="s">
        <v>32</v>
      </c>
      <c r="C16" t="s">
        <v>48</v>
      </c>
      <c r="D16" s="1">
        <v>45663</v>
      </c>
      <c r="E16">
        <v>12</v>
      </c>
      <c r="F16">
        <v>12</v>
      </c>
      <c r="G16" t="s">
        <v>13</v>
      </c>
      <c r="H16">
        <v>21</v>
      </c>
      <c r="I16" t="s">
        <v>23</v>
      </c>
      <c r="J16" t="s">
        <v>24</v>
      </c>
      <c r="K16">
        <f>IF(tblShifts[[#This Row],[ShiftStatus]]="Completed",1,0)</f>
        <v>1</v>
      </c>
      <c r="L16">
        <f>MAX(0,tblShifts[[#This Row],[ActualHours]]-tblShifts[[#This Row],[ScheduledHours]])</f>
        <v>0</v>
      </c>
      <c r="M16">
        <f>MAX(0,tblShifts[[#This Row],[ScheduledHours]]-tblShifts[[#This Row],[ActualHours]])</f>
        <v>0</v>
      </c>
      <c r="N16">
        <f>tblShifts[[#This Row],[InefficiencyHours]]*tblShifts[[#This Row],[PayRate]]</f>
        <v>0</v>
      </c>
    </row>
    <row r="17" spans="1:14" x14ac:dyDescent="0.25">
      <c r="A17" t="s">
        <v>49</v>
      </c>
      <c r="B17" t="s">
        <v>11</v>
      </c>
      <c r="C17" t="s">
        <v>12</v>
      </c>
      <c r="D17" s="1">
        <v>45664</v>
      </c>
      <c r="E17">
        <v>8</v>
      </c>
      <c r="F17">
        <v>7</v>
      </c>
      <c r="G17" t="s">
        <v>13</v>
      </c>
      <c r="H17">
        <v>18</v>
      </c>
      <c r="I17" t="s">
        <v>14</v>
      </c>
      <c r="J17" t="s">
        <v>15</v>
      </c>
      <c r="K17">
        <f>IF(tblShifts[[#This Row],[ShiftStatus]]="Completed",1,0)</f>
        <v>1</v>
      </c>
      <c r="L17">
        <f>MAX(0,tblShifts[[#This Row],[ActualHours]]-tblShifts[[#This Row],[ScheduledHours]])</f>
        <v>0</v>
      </c>
      <c r="M17">
        <f>MAX(0,tblShifts[[#This Row],[ScheduledHours]]-tblShifts[[#This Row],[ActualHours]])</f>
        <v>1</v>
      </c>
      <c r="N17" s="2">
        <f>tblShifts[[#This Row],[InefficiencyHours]]*tblShifts[[#This Row],[PayRate]]</f>
        <v>18</v>
      </c>
    </row>
    <row r="18" spans="1:14" x14ac:dyDescent="0.25">
      <c r="A18" t="s">
        <v>50</v>
      </c>
      <c r="B18" t="s">
        <v>17</v>
      </c>
      <c r="C18" t="s">
        <v>18</v>
      </c>
      <c r="D18" s="1">
        <v>45664</v>
      </c>
      <c r="E18">
        <v>6</v>
      </c>
      <c r="F18">
        <v>0</v>
      </c>
      <c r="G18" t="s">
        <v>22</v>
      </c>
      <c r="H18">
        <v>19</v>
      </c>
      <c r="I18" t="s">
        <v>14</v>
      </c>
      <c r="J18" t="s">
        <v>15</v>
      </c>
      <c r="K18">
        <f>IF(tblShifts[[#This Row],[ShiftStatus]]="Completed",1,0)</f>
        <v>0</v>
      </c>
      <c r="L18">
        <f>MAX(0,tblShifts[[#This Row],[ActualHours]]-tblShifts[[#This Row],[ScheduledHours]])</f>
        <v>0</v>
      </c>
      <c r="M18">
        <f>MAX(0,tblShifts[[#This Row],[ScheduledHours]]-tblShifts[[#This Row],[ActualHours]])</f>
        <v>6</v>
      </c>
      <c r="N18" s="2">
        <f>tblShifts[[#This Row],[InefficiencyHours]]*tblShifts[[#This Row],[PayRate]]</f>
        <v>114</v>
      </c>
    </row>
    <row r="19" spans="1:14" x14ac:dyDescent="0.25">
      <c r="A19" t="s">
        <v>51</v>
      </c>
      <c r="B19" t="s">
        <v>20</v>
      </c>
      <c r="C19" t="s">
        <v>36</v>
      </c>
      <c r="D19" s="1">
        <v>45664</v>
      </c>
      <c r="E19">
        <v>12</v>
      </c>
      <c r="F19">
        <v>12</v>
      </c>
      <c r="G19" t="s">
        <v>13</v>
      </c>
      <c r="H19">
        <v>20</v>
      </c>
      <c r="I19" t="s">
        <v>23</v>
      </c>
      <c r="J19" t="s">
        <v>24</v>
      </c>
      <c r="K19">
        <f>IF(tblShifts[[#This Row],[ShiftStatus]]="Completed",1,0)</f>
        <v>1</v>
      </c>
      <c r="L19">
        <f>MAX(0,tblShifts[[#This Row],[ActualHours]]-tblShifts[[#This Row],[ScheduledHours]])</f>
        <v>0</v>
      </c>
      <c r="M19">
        <f>MAX(0,tblShifts[[#This Row],[ScheduledHours]]-tblShifts[[#This Row],[ActualHours]])</f>
        <v>0</v>
      </c>
      <c r="N19">
        <f>tblShifts[[#This Row],[InefficiencyHours]]*tblShifts[[#This Row],[PayRate]]</f>
        <v>0</v>
      </c>
    </row>
    <row r="20" spans="1:14" x14ac:dyDescent="0.25">
      <c r="A20" t="s">
        <v>52</v>
      </c>
      <c r="B20" t="s">
        <v>29</v>
      </c>
      <c r="C20" t="s">
        <v>38</v>
      </c>
      <c r="D20" s="1">
        <v>45665</v>
      </c>
      <c r="E20">
        <v>8</v>
      </c>
      <c r="F20">
        <v>8</v>
      </c>
      <c r="G20" t="s">
        <v>13</v>
      </c>
      <c r="H20">
        <v>17</v>
      </c>
      <c r="I20" t="s">
        <v>27</v>
      </c>
      <c r="J20" t="s">
        <v>15</v>
      </c>
      <c r="K20">
        <f>IF(tblShifts[[#This Row],[ShiftStatus]]="Completed",1,0)</f>
        <v>1</v>
      </c>
      <c r="L20">
        <f>MAX(0,tblShifts[[#This Row],[ActualHours]]-tblShifts[[#This Row],[ScheduledHours]])</f>
        <v>0</v>
      </c>
      <c r="M20">
        <f>MAX(0,tblShifts[[#This Row],[ScheduledHours]]-tblShifts[[#This Row],[ActualHours]])</f>
        <v>0</v>
      </c>
      <c r="N20">
        <f>tblShifts[[#This Row],[InefficiencyHours]]*tblShifts[[#This Row],[PayRate]]</f>
        <v>0</v>
      </c>
    </row>
    <row r="21" spans="1:14" x14ac:dyDescent="0.25">
      <c r="A21" t="s">
        <v>53</v>
      </c>
      <c r="B21" t="s">
        <v>32</v>
      </c>
      <c r="C21" t="s">
        <v>33</v>
      </c>
      <c r="D21" s="1">
        <v>45665</v>
      </c>
      <c r="E21">
        <v>6</v>
      </c>
      <c r="F21">
        <v>5</v>
      </c>
      <c r="G21" t="s">
        <v>13</v>
      </c>
      <c r="H21">
        <v>21</v>
      </c>
      <c r="I21" t="s">
        <v>23</v>
      </c>
      <c r="J21" t="s">
        <v>24</v>
      </c>
      <c r="K21">
        <f>IF(tblShifts[[#This Row],[ShiftStatus]]="Completed",1,0)</f>
        <v>1</v>
      </c>
      <c r="L21">
        <f>MAX(0,tblShifts[[#This Row],[ActualHours]]-tblShifts[[#This Row],[ScheduledHours]])</f>
        <v>0</v>
      </c>
      <c r="M21">
        <f>MAX(0,tblShifts[[#This Row],[ScheduledHours]]-tblShifts[[#This Row],[ActualHours]])</f>
        <v>1</v>
      </c>
      <c r="N21" s="2">
        <f>tblShifts[[#This Row],[InefficiencyHours]]*tblShifts[[#This Row],[PayRate]]</f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Shifts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Jihanath Soumanou</dc:creator>
  <cp:lastModifiedBy>Jihanath Soumanou</cp:lastModifiedBy>
  <dcterms:created xsi:type="dcterms:W3CDTF">2025-12-22T20:37:26Z</dcterms:created>
  <dcterms:modified xsi:type="dcterms:W3CDTF">2025-12-22T21:33:15Z</dcterms:modified>
</cp:coreProperties>
</file>